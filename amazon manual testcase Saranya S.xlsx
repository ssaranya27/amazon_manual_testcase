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Plan &amp; Execution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<sst xmlns="http://schemas.openxmlformats.org/spreadsheetml/2006/main" count="143" uniqueCount="104">
  <si>
    <t>Reset email received in 12s; link validated</t>
  </si>
  <si>
    <t>QA TEST SUITE</t>
  </si>
  <si>
    <t>TOTAL TESTS</t>
  </si>
  <si>
    <t>MODULES</t>
  </si>
  <si>
    <t>ACTUAL RESULTS LOGGED</t>
  </si>
  <si>
    <t>Sprint 18 QA Cycle</t>
  </si>
  <si>
    <t>Release v2.4</t>
  </si>
  <si>
    <t>Test Case ID</t>
  </si>
  <si>
    <t>Module</t>
  </si>
  <si>
    <t>Test Scenario</t>
  </si>
  <si>
    <t>Test Steps</t>
  </si>
  <si>
    <t>Test Data</t>
  </si>
  <si>
    <t>Expected Result</t>
  </si>
  <si>
    <t>Actual Result</t>
  </si>
  <si>
    <t>Status</t>
  </si>
  <si>
    <t>TC_001</t>
  </si>
  <si>
    <t>Authentication</t>
  </si>
  <si>
    <t>signin with valid credential</t>
  </si>
  <si>
    <t>Open Amazon → Sign in → Enter registered email/mobile → Enter valid password → Continue</t>
  </si>
  <si>
    <t>Email: user@example.com, Password: Password@123</t>
  </si>
  <si>
    <t>Redirect to user dashboard with active session token</t>
  </si>
  <si>
    <t>Successfully logged in and redirected to /dashboard</t>
  </si>
  <si>
    <t>pass</t>
  </si>
  <si>
    <t>TC-002</t>
  </si>
  <si>
    <t>Search using partial product keyword</t>
  </si>
  <si>
    <t xml:space="preserve">Start sign-in verification → Enter an incorrect OTP → Submit
</t>
  </si>
  <si>
    <t>Email: registered_user@domain.com</t>
  </si>
  <si>
    <t>System sends OTP/reset link within 60s; token expires in 15m</t>
  </si>
  <si>
    <t>TC-003</t>
  </si>
  <si>
    <t xml:space="preserve">Search
</t>
  </si>
  <si>
    <t>Account lockout after 5 failed attempts</t>
  </si>
  <si>
    <t>Enter a partial keyword in search box → Submit search</t>
  </si>
  <si>
    <t>wireless head</t>
  </si>
  <si>
    <t>Relevant products matching the keyword are displayed</t>
  </si>
  <si>
    <t>TC-004</t>
  </si>
  <si>
    <t xml:space="preserve">Apply multiple product filters
</t>
  </si>
  <si>
    <t>Search for a category → Apply brand filter → Apply price range → Apply another available filter</t>
  </si>
  <si>
    <t>Laptop; brand; price range</t>
  </si>
  <si>
    <t>Results reflect all selected filters simultaneously</t>
  </si>
  <si>
    <t>TC-005</t>
  </si>
  <si>
    <t xml:space="preserve">Clear applied search filters
</t>
  </si>
  <si>
    <t>Perform a filtered search → Remove/clear all selected filters</t>
  </si>
  <si>
    <t>Multiple filters</t>
  </si>
  <si>
    <t>Unfiltered or default result set is restored</t>
  </si>
  <si>
    <t>TC-006</t>
  </si>
  <si>
    <t xml:space="preserve">Product Details
</t>
  </si>
  <si>
    <t>Verify product image gallery</t>
  </si>
  <si>
    <t>Open a product detail page → Select different thumbnail/images</t>
  </si>
  <si>
    <t>Product with multiple images</t>
  </si>
  <si>
    <t>Selected product images load correctly without changing the product</t>
  </si>
  <si>
    <t xml:space="preserve">Verify variation selection updates product information
</t>
  </si>
  <si>
    <t xml:space="preserve">Open product with variations → Change size/color/storage variation
</t>
  </si>
  <si>
    <t xml:space="preserve">Available variation
</t>
  </si>
  <si>
    <t>Purchase action is unavailable or appropriate availability information is shown</t>
  </si>
  <si>
    <t>TC-007</t>
  </si>
  <si>
    <t xml:space="preserve">Product Details
</t>
  </si>
  <si>
    <t>Update cart quantity within allowed range</t>
  </si>
  <si>
    <t xml:space="preserve">Add product → Open cart → Increase quantity </t>
  </si>
  <si>
    <t>Quantity: 2</t>
  </si>
  <si>
    <t>Updated quantity and subtotal are retained after refresh</t>
  </si>
  <si>
    <t>TC-008</t>
  </si>
  <si>
    <t xml:space="preserve">Cart
</t>
  </si>
  <si>
    <t>Add two different products → Open cart → Remove one product</t>
  </si>
  <si>
    <t>Remove one item from multi-item cart</t>
  </si>
  <si>
    <t xml:space="preserve">Quantity: 2
</t>
  </si>
  <si>
    <t xml:space="preserve">Updated quantity and subtotal are retained after refresh
</t>
  </si>
  <si>
    <t>TC-009</t>
  </si>
  <si>
    <t>Cart</t>
  </si>
  <si>
    <t xml:space="preserve">Two cart items
</t>
  </si>
  <si>
    <t>Remove product form cart</t>
  </si>
  <si>
    <t>TC-010</t>
  </si>
  <si>
    <t xml:space="preserve">Address
</t>
  </si>
  <si>
    <t xml:space="preserve">Add a new delivery address
</t>
  </si>
  <si>
    <t xml:space="preserve">Open account/address section → Add new address → Enter valid details → Save
</t>
  </si>
  <si>
    <t xml:space="preserve">Valid Indian address
</t>
  </si>
  <si>
    <t xml:space="preserve">New address is saved and available for delivery selection
</t>
  </si>
  <si>
    <t>TC-011</t>
  </si>
  <si>
    <t xml:space="preserve">Validate mandatory address fields
</t>
  </si>
  <si>
    <t xml:space="preserve">Open add-address form → Leave required fields empty → Save
</t>
  </si>
  <si>
    <t xml:space="preserve">Blank required fields
</t>
  </si>
  <si>
    <t xml:space="preserve">Validation messages identify the required missing information
</t>
  </si>
  <si>
    <t>TC-012</t>
  </si>
  <si>
    <t xml:space="preserve">Checkout
</t>
  </si>
  <si>
    <t xml:space="preserve">Prevent checkout when required delivery information is missing
</t>
  </si>
  <si>
    <t xml:space="preserve">Add eligible product → Proceed to checkout → Remove/omit required delivery information if possible
</t>
  </si>
  <si>
    <t xml:space="preserve">Missing address
</t>
  </si>
  <si>
    <t xml:space="preserve">Checkout prevents progression until required information is provided
</t>
  </si>
  <si>
    <t>TC-013</t>
  </si>
  <si>
    <t xml:space="preserve">Verify order total before placing order
</t>
  </si>
  <si>
    <t xml:space="preserve">Add product → Proceed to checkout → Review item, delivery and total sections
</t>
  </si>
  <si>
    <t xml:space="preserve">Known product price
</t>
  </si>
  <si>
    <t xml:space="preserve">Displayed payable total is consistent with applicable order components
</t>
  </si>
  <si>
    <t>TC-014</t>
  </si>
  <si>
    <t xml:space="preserve">Orders
</t>
  </si>
  <si>
    <t xml:space="preserve">Verify newly placed order appears in order history
</t>
  </si>
  <si>
    <t xml:space="preserve">Complete a test purchase → Open Orders
</t>
  </si>
  <si>
    <t xml:space="preserve">Successful test order
</t>
  </si>
  <si>
    <t xml:space="preserve">The new order appears with correct item and order details
</t>
  </si>
  <si>
    <t>TC-015</t>
  </si>
  <si>
    <t xml:space="preserve">Cancellation
</t>
  </si>
  <si>
    <t xml:space="preserve">Cancel an eligible order
</t>
  </si>
  <si>
    <t xml:space="preserve">Open an eligible order → Select cancellation option → Confirm
</t>
  </si>
  <si>
    <t xml:space="preserve">Cancelable test order
</t>
  </si>
  <si>
    <t xml:space="preserve">Cancellation is accepted and order status reflects the cancellation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</si>
</sst>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sz val="9.0"/>
      <color rgb="FF1E293A"/>
      <name val="Roboto"/>
    </font>
    <font>
      <b/>
      <sz val="11.0"/>
      <color rgb="FF1E293A"/>
      <name val="Google Sans"/>
    </font>
    <font>
      <b/>
      <sz val="9.0"/>
      <color rgb="FF63748A"/>
      <name val="Google Sans"/>
    </font>
    <font/>
    <font>
      <b/>
      <sz val="9.0"/>
      <color rgb="FF1E40AE"/>
      <name val="Google Sans"/>
    </font>
    <font>
      <b/>
      <sz val="9.0"/>
      <color rgb="FF156434"/>
      <name val="Google Sans"/>
    </font>
    <font>
      <b/>
      <sz val="10.0"/>
      <color rgb="FF3A82F6"/>
      <name val="Google Sans"/>
    </font>
    <font>
      <b/>
      <sz val="18.0"/>
      <color rgb="FF0F162A"/>
      <name val="Google Sans"/>
    </font>
    <font>
      <b/>
      <sz val="18.0"/>
      <color rgb="FF2462EB"/>
      <name val="Google Sans"/>
    </font>
    <font>
      <b/>
      <sz val="18.0"/>
      <color rgb="FF14803C"/>
      <name val="Google Sans"/>
    </font>
    <font>
      <sz val="9.0"/>
      <color rgb="FF63748A"/>
      <name val="Roboto"/>
    </font>
    <font>
      <sz val="9.0"/>
      <color rgb="FF1E40AE"/>
      <name val="Roboto"/>
    </font>
    <font>
      <sz val="9.0"/>
      <color rgb="FF156434"/>
      <name val="Roboto"/>
    </font>
    <font>
      <b/>
      <sz val="10.0"/>
      <color rgb="FFFFFFFF"/>
      <name val="Google Sans"/>
    </font>
    <font>
      <b/>
      <sz val="9.0"/>
      <color rgb="FF2462EB"/>
      <name val="Roboto"/>
    </font>
    <font>
      <b/>
      <sz val="9.0"/>
      <color rgb="FF1E293A"/>
      <name val="Roboto"/>
    </font>
    <font>
      <color theme="1"/>
      <name val="Arial"/>
    </font>
    <font>
      <sz val="9.0"/>
      <color theme="1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F0F5F8"/>
        <bgColor rgb="FFF0F5F8"/>
      </patternFill>
    </fill>
    <fill>
      <patternFill patternType="solid">
        <fgColor rgb="FFF8F9FB"/>
        <bgColor rgb="FFF8F9FB"/>
      </patternFill>
    </fill>
    <fill>
      <patternFill patternType="solid">
        <fgColor rgb="FFEEF6FF"/>
        <bgColor rgb="FFEEF6FF"/>
      </patternFill>
    </fill>
    <fill>
      <patternFill patternType="solid">
        <fgColor rgb="FFEFFCF4"/>
        <bgColor rgb="FFEFFCF4"/>
      </patternFill>
    </fill>
    <fill>
      <patternFill patternType="solid">
        <fgColor rgb="FF1E293A"/>
        <bgColor rgb="FF1E293A"/>
      </patternFill>
    </fill>
  </fills>
  <borders count="30">
    <border/>
    <border>
      <left style="thin">
        <color rgb="FFE1E8EF"/>
      </left>
      <right style="thin">
        <color rgb="FFCAD4E0"/>
      </right>
      <top style="thin">
        <color rgb="FFE1E8EF"/>
      </top>
      <bottom style="thin">
        <color rgb="FFE1E8EF"/>
      </bottom>
    </border>
    <border>
      <left style="thin">
        <color rgb="FFCAD4E0"/>
      </left>
      <right style="thin">
        <color rgb="FFCAD4E0"/>
      </right>
      <top style="thin">
        <color rgb="FFCAD4E0"/>
      </top>
    </border>
    <border>
      <left style="thin">
        <color rgb="FFCAD4E0"/>
      </left>
      <top style="thin">
        <color rgb="FFCAD4E0"/>
      </top>
    </border>
    <border>
      <right style="thin">
        <color rgb="FFCAD4E0"/>
      </right>
      <top style="thin">
        <color rgb="FFCAD4E0"/>
      </top>
    </border>
    <border>
      <left style="thin">
        <color rgb="FFBEDBFD"/>
      </left>
      <top style="thin">
        <color rgb="FFBEDBFD"/>
      </top>
    </border>
    <border>
      <right style="thin">
        <color rgb="FFBEDBFD"/>
      </right>
      <top style="thin">
        <color rgb="FFBEDBFD"/>
      </top>
    </border>
    <border>
      <left style="thin">
        <color rgb="FFBAF7D0"/>
      </left>
      <top style="thin">
        <color rgb="FFBAF7D0"/>
      </top>
    </border>
    <border>
      <right style="thin">
        <color rgb="FFBAF7D0"/>
      </right>
      <top style="thin">
        <color rgb="FFBAF7D0"/>
      </top>
    </border>
    <border>
      <left style="thin">
        <color rgb="FFCAD4E0"/>
      </left>
      <right style="thin">
        <color rgb="FFCAD4E0"/>
      </right>
    </border>
    <border>
      <left style="thin">
        <color rgb="FFCAD4E0"/>
      </left>
    </border>
    <border>
      <right style="thin">
        <color rgb="FFCAD4E0"/>
      </right>
    </border>
    <border>
      <left style="thin">
        <color rgb="FFBEDBFD"/>
      </left>
    </border>
    <border>
      <right style="thin">
        <color rgb="FFBEDBFD"/>
      </right>
    </border>
    <border>
      <left style="thin">
        <color rgb="FFBAF7D0"/>
      </left>
    </border>
    <border>
      <right style="thin">
        <color rgb="FFBAF7D0"/>
      </right>
    </border>
    <border>
      <left style="thin">
        <color rgb="FFCAD4E0"/>
      </left>
      <right style="thin">
        <color rgb="FFCAD4E0"/>
      </right>
      <bottom style="thin">
        <color rgb="FFCAD4E0"/>
      </bottom>
    </border>
    <border>
      <left style="thin">
        <color rgb="FFCAD4E0"/>
      </left>
      <bottom style="thin">
        <color rgb="FFCAD4E0"/>
      </bottom>
    </border>
    <border>
      <right style="thin">
        <color rgb="FFCAD4E0"/>
      </right>
      <bottom style="thin">
        <color rgb="FFCAD4E0"/>
      </bottom>
    </border>
    <border>
      <left style="thin">
        <color rgb="FFBEDBFD"/>
      </left>
      <bottom style="thin">
        <color rgb="FFBEDBFD"/>
      </bottom>
    </border>
    <border>
      <right style="thin">
        <color rgb="FFBEDBFD"/>
      </right>
      <bottom style="thin">
        <color rgb="FFBEDBFD"/>
      </bottom>
    </border>
    <border>
      <left style="thin">
        <color rgb="FFBAF7D0"/>
      </left>
      <bottom style="thin">
        <color rgb="FFBAF7D0"/>
      </bottom>
    </border>
    <border>
      <right style="thin">
        <color rgb="FFBAF7D0"/>
      </right>
      <bottom style="thin">
        <color rgb="FFBAF7D0"/>
      </bottom>
    </border>
    <border>
      <left style="thin">
        <color rgb="FFCAD4E0"/>
      </left>
      <right style="thin">
        <color rgb="FFE1E8EF"/>
      </right>
      <top style="thin">
        <color rgb="FFCAD4E0"/>
      </top>
      <bottom style="thin">
        <color rgb="FFE1E8EF"/>
      </bottom>
    </border>
    <border>
      <left style="thin">
        <color rgb="FFE1E8EF"/>
      </left>
      <right style="thin">
        <color rgb="FFE1E8EF"/>
      </right>
      <top style="thin">
        <color rgb="FFCAD4E0"/>
      </top>
      <bottom style="thin">
        <color rgb="FFE1E8EF"/>
      </bottom>
    </border>
    <border>
      <left style="thin">
        <color rgb="FFE1E8EF"/>
      </left>
      <right style="thin">
        <color rgb="FFCAD4E0"/>
      </right>
      <top style="thin">
        <color rgb="FFCAD4E0"/>
      </top>
      <bottom style="thin">
        <color rgb="FFE1E8EF"/>
      </bottom>
    </border>
    <border>
      <left style="thin">
        <color rgb="FFCAD4E0"/>
      </left>
      <right style="thin">
        <color rgb="FFE1E8EF"/>
      </right>
      <top style="thin">
        <color rgb="FFE1E8EF"/>
      </top>
      <bottom style="thin">
        <color rgb="FFE1E8EF"/>
      </bottom>
    </border>
    <border>
      <left style="thin">
        <color rgb="FFE1E8EF"/>
      </left>
      <right style="thin">
        <color rgb="FFE1E8EF"/>
      </right>
      <top style="thin">
        <color rgb="FFE1E8EF"/>
      </top>
      <bottom style="thin">
        <color rgb="FFE1E8EF"/>
      </bottom>
    </border>
    <border>
      <left style="thin">
        <color rgb="FFCAD4E0"/>
      </left>
      <right style="thin">
        <color rgb="FFE1E8EF"/>
      </right>
      <top style="thin">
        <color rgb="FFE1E8EF"/>
      </top>
      <bottom style="thin">
        <color rgb="FFCAD4E0"/>
      </bottom>
    </border>
    <border>
      <left style="thin">
        <color rgb="FFE1E8EF"/>
      </left>
      <right style="thin">
        <color rgb="FFE1E8EF"/>
      </right>
      <top style="thin">
        <color rgb="FFE1E8EF"/>
      </top>
      <bottom style="thin">
        <color rgb="FFCAD4E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top" wrapText="1"/>
    </xf>
    <xf borderId="2" fillId="2" fontId="2" numFmtId="0" xfId="0" applyAlignment="1" applyBorder="1" applyFill="1" applyFont="1">
      <alignment horizontal="center" readingOrder="0" vertical="center"/>
    </xf>
    <xf borderId="3" fillId="3" fontId="3" numFmtId="0" xfId="0" applyAlignment="1" applyBorder="1" applyFill="1" applyFont="1">
      <alignment horizontal="center" readingOrder="0" vertical="center"/>
    </xf>
    <xf borderId="4" fillId="0" fontId="4" numFmtId="0" xfId="0" applyBorder="1" applyFont="1"/>
    <xf borderId="5" fillId="4" fontId="5" numFmtId="0" xfId="0" applyAlignment="1" applyBorder="1" applyFill="1" applyFont="1">
      <alignment horizontal="center" readingOrder="0" vertical="center"/>
    </xf>
    <xf borderId="6" fillId="0" fontId="4" numFmtId="0" xfId="0" applyBorder="1" applyFont="1"/>
    <xf borderId="7" fillId="5" fontId="6" numFmtId="0" xfId="0" applyAlignment="1" applyBorder="1" applyFill="1" applyFont="1">
      <alignment horizontal="center" readingOrder="0" vertical="center"/>
    </xf>
    <xf borderId="8" fillId="0" fontId="4" numFmtId="0" xfId="0" applyBorder="1" applyFont="1"/>
    <xf borderId="9" fillId="2" fontId="7" numFmtId="0" xfId="0" applyAlignment="1" applyBorder="1" applyFill="1" applyFont="1">
      <alignment horizontal="center" readingOrder="0" vertical="center"/>
    </xf>
    <xf borderId="10" fillId="3" fontId="8" numFmtId="0" xfId="0" applyAlignment="1" applyBorder="1" applyFill="1" applyFont="1">
      <alignment horizontal="center" readingOrder="0" vertical="center"/>
    </xf>
    <xf borderId="11" fillId="0" fontId="4" numFmtId="0" xfId="0" applyBorder="1" applyFont="1"/>
    <xf borderId="12" fillId="4" fontId="9" numFmtId="0" xfId="0" applyAlignment="1" applyBorder="1" applyFill="1" applyFont="1">
      <alignment horizontal="center" vertical="center"/>
    </xf>
    <xf borderId="13" fillId="0" fontId="4" numFmtId="0" xfId="0" applyBorder="1" applyFont="1"/>
    <xf borderId="14" fillId="5" fontId="10" numFmtId="0" xfId="0" applyAlignment="1" applyBorder="1" applyFill="1" applyFont="1">
      <alignment horizontal="center" vertical="center"/>
    </xf>
    <xf borderId="15" fillId="0" fontId="4" numFmtId="0" xfId="0" applyBorder="1" applyFont="1"/>
    <xf borderId="16" fillId="2" fontId="11" numFmtId="0" xfId="0" applyAlignment="1" applyBorder="1" applyFill="1" applyFont="1">
      <alignment horizontal="center" readingOrder="0" vertical="center"/>
    </xf>
    <xf borderId="17" fillId="3" fontId="11" numFmtId="0" xfId="0" applyAlignment="1" applyBorder="1" applyFill="1" applyFont="1">
      <alignment horizontal="center" readingOrder="0" vertical="center"/>
    </xf>
    <xf borderId="18" fillId="0" fontId="4" numFmtId="0" xfId="0" applyBorder="1" applyFont="1"/>
    <xf borderId="19" fillId="4" fontId="12" numFmtId="0" xfId="0" applyAlignment="1" applyBorder="1" applyFill="1" applyFont="1">
      <alignment horizontal="center" vertical="center"/>
    </xf>
    <xf borderId="20" fillId="0" fontId="4" numFmtId="0" xfId="0" applyBorder="1" applyFont="1"/>
    <xf borderId="21" fillId="5" fontId="13" numFmtId="0" xfId="0" applyAlignment="1" applyBorder="1" applyFill="1" applyFont="1">
      <alignment horizontal="center" vertical="center"/>
    </xf>
    <xf borderId="22" fillId="0" fontId="4" numFmtId="0" xfId="0" applyBorder="1" applyFont="1"/>
    <xf borderId="23" fillId="6" fontId="14" numFmtId="0" xfId="0" applyAlignment="1" applyBorder="1" applyFill="1" applyFont="1">
      <alignment horizontal="center" readingOrder="0" vertical="center"/>
    </xf>
    <xf borderId="24" fillId="6" fontId="14" numFmtId="0" xfId="0" applyAlignment="1" applyBorder="1" applyFill="1" applyFont="1">
      <alignment horizontal="left" readingOrder="0" vertical="center"/>
    </xf>
    <xf borderId="25" fillId="6" fontId="14" numFmtId="0" xfId="0" applyAlignment="1" applyBorder="1" applyFill="1" applyFont="1">
      <alignment horizontal="left" vertical="center"/>
    </xf>
    <xf borderId="25" fillId="6" fontId="14" numFmtId="0" xfId="0" applyAlignment="1" applyBorder="1" applyFill="1" applyFont="1">
      <alignment horizontal="left" readingOrder="0" vertical="center"/>
    </xf>
    <xf borderId="26" fillId="0" fontId="15" numFmtId="0" xfId="0" applyAlignment="1" applyBorder="1" applyFont="1">
      <alignment horizontal="center" readingOrder="0" shrinkToFit="0" vertical="top" wrapText="1"/>
    </xf>
    <xf borderId="27" fillId="0" fontId="16" numFmtId="0" xfId="0" applyAlignment="1" applyBorder="1" applyFont="1">
      <alignment readingOrder="0" shrinkToFit="0" vertical="top" wrapText="1"/>
    </xf>
    <xf borderId="27" fillId="0" fontId="1" numFmtId="0" xfId="0" applyAlignment="1" applyBorder="1" applyFont="1">
      <alignment readingOrder="0" shrinkToFit="0" vertical="top" wrapText="1"/>
    </xf>
    <xf borderId="27" fillId="0" fontId="1" numFmtId="0" xfId="0" applyAlignment="1" applyBorder="1" applyFont="1">
      <alignment horizontal="left" shrinkToFit="0" vertical="top" wrapText="1"/>
    </xf>
    <xf borderId="0" fillId="0" fontId="1" numFmtId="0" xfId="0" applyAlignment="1" applyFont="1">
      <alignment horizontal="left" readingOrder="0" shrinkToFit="0" vertical="top" wrapText="1"/>
    </xf>
    <xf borderId="27" fillId="0" fontId="1" numFmtId="0" xfId="0" applyAlignment="1" applyBorder="1" applyFont="1">
      <alignment horizontal="left" readingOrder="0" shrinkToFit="0" vertical="top" wrapText="1"/>
    </xf>
    <xf borderId="28" fillId="0" fontId="15" numFmtId="0" xfId="0" applyAlignment="1" applyBorder="1" applyFont="1">
      <alignment horizontal="center" readingOrder="0" shrinkToFit="0" vertical="top" wrapText="1"/>
    </xf>
    <xf borderId="29" fillId="0" fontId="16" numFmtId="0" xfId="0" applyAlignment="1" applyBorder="1" applyFont="1">
      <alignment readingOrder="0" shrinkToFit="0" vertical="top" wrapText="1"/>
    </xf>
    <xf borderId="29" fillId="0" fontId="1" numFmtId="0" xfId="0" applyAlignment="1" applyBorder="1" applyFont="1">
      <alignment readingOrder="0" shrinkToFit="0" vertical="top" wrapText="1"/>
    </xf>
    <xf borderId="29" fillId="0" fontId="1" numFmtId="0" xfId="0" applyAlignment="1" applyBorder="1" applyFont="1">
      <alignment horizontal="left" readingOrder="0" shrinkToFit="0" vertical="top" wrapText="1"/>
    </xf>
    <xf borderId="0" fillId="0" fontId="17" numFmtId="0" xfId="0" applyAlignment="1" applyFont="1">
      <alignment vertical="bottom"/>
    </xf>
    <xf borderId="28" fillId="3" fontId="15" numFmtId="0" xfId="0" applyAlignment="1" applyBorder="1" applyFill="1" applyFont="1">
      <alignment horizontal="center" readingOrder="0" shrinkToFit="0" vertical="top" wrapText="1"/>
    </xf>
    <xf borderId="29" fillId="3" fontId="16" numFmtId="0" xfId="0" applyAlignment="1" applyBorder="1" applyFill="1" applyFont="1">
      <alignment readingOrder="0" shrinkToFit="0" vertical="top" wrapText="1"/>
    </xf>
    <xf borderId="29" fillId="3" fontId="1" numFmtId="0" xfId="0" applyAlignment="1" applyBorder="1" applyFill="1" applyFont="1">
      <alignment readingOrder="0" shrinkToFit="0" vertical="top" wrapText="1"/>
    </xf>
    <xf borderId="0" fillId="0" fontId="18" numFmtId="0" xfId="0" applyAlignment="1" applyFont="1">
      <alignment shrinkToFit="0" vertical="top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B"/>
          <bgColor rgb="FFF8F9FB"/>
        </patternFill>
      </fill>
      <border/>
    </dxf>
    <dxf>
      <font>
        <b/>
        <color rgb="FFDC2525"/>
      </font>
      <fill>
        <patternFill patternType="solid">
          <fgColor rgb="FFFDF1F1"/>
          <bgColor rgb="FFFDF1F1"/>
        </patternFill>
      </fill>
      <border/>
    </dxf>
  </dxfs>
  <tableStyles count="6">
    <tableStyle count="2" pivot="0" name="Test Plan &amp; Execution-style">
      <tableStyleElement dxfId="1" type="firstRowStripe"/>
      <tableStyleElement dxfId="2" type="secondRowStripe"/>
    </tableStyle>
    <tableStyle count="2" pivot="0" name="Test Plan &amp; Execution-style 2">
      <tableStyleElement dxfId="2" type="firstRowStripe"/>
      <tableStyleElement dxfId="1" type="secondRowStripe"/>
    </tableStyle>
    <tableStyle count="2" pivot="0" name="Test Plan &amp; Execution-style 3">
      <tableStyleElement dxfId="2" type="firstRowStripe"/>
      <tableStyleElement dxfId="1" type="secondRowStripe"/>
    </tableStyle>
    <tableStyle count="2" pivot="0" name="Test Plan &amp; Execution-style 4">
      <tableStyleElement dxfId="2" type="firstRowStripe"/>
      <tableStyleElement dxfId="1" type="secondRowStripe"/>
    </tableStyle>
    <tableStyle count="2" pivot="0" name="Test Plan &amp; Execution-style 5">
      <tableStyleElement dxfId="2" type="firstRowStripe"/>
      <tableStyleElement dxfId="1" type="secondRowStripe"/>
    </tableStyle>
    <tableStyle count="2" pivot="0" name="Test Plan &amp; Execution-style 6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7:I17" displayName="Table_1" name="Table_1" id="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Test Plan &amp; Execution-style" showColumnStripes="0" showFirstColumn="1" showLastColumn="1" showRowStripes="1"/>
</table>
</file>

<file path=xl/tables/table2.xml><?xml version="1.0" encoding="utf-8"?>
<table xmlns="http://schemas.openxmlformats.org/spreadsheetml/2006/main" headerRowCount="0" ref="B18:I18" displayName="Table_2" name="Table_2" id="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Test Plan &amp; Execution-style 2" showColumnStripes="0" showFirstColumn="1" showLastColumn="1" showRowStripes="1"/>
</table>
</file>

<file path=xl/tables/table3.xml><?xml version="1.0" encoding="utf-8"?>
<table xmlns="http://schemas.openxmlformats.org/spreadsheetml/2006/main" headerRowCount="0" ref="B19:I19" displayName="Table_3" name="Table_3" id="3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Test Plan &amp; Execution-style 3" showColumnStripes="0" showFirstColumn="1" showLastColumn="1" showRowStripes="1"/>
</table>
</file>

<file path=xl/tables/table4.xml><?xml version="1.0" encoding="utf-8"?>
<table xmlns="http://schemas.openxmlformats.org/spreadsheetml/2006/main" headerRowCount="0" ref="B20:I20" displayName="Table_4" name="Table_4" id="4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Test Plan &amp; Execution-style 4" showColumnStripes="0" showFirstColumn="1" showLastColumn="1" showRowStripes="1"/>
</table>
</file>

<file path=xl/tables/table5.xml><?xml version="1.0" encoding="utf-8"?>
<table xmlns="http://schemas.openxmlformats.org/spreadsheetml/2006/main" headerRowCount="0" ref="B21:I21" displayName="Table_5" name="Table_5" id="5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Test Plan &amp; Execution-style 5" showColumnStripes="0" showFirstColumn="1" showLastColumn="1" showRowStripes="1"/>
</table>
</file>

<file path=xl/tables/table6.xml><?xml version="1.0" encoding="utf-8"?>
<table xmlns="http://schemas.openxmlformats.org/spreadsheetml/2006/main" headerRowCount="0" ref="B22:I22" displayName="Table_6" name="Table_6" id="6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Test Plan &amp; Execution-style 6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13" Type="http://schemas.openxmlformats.org/officeDocument/2006/relationships/table" Target="../tables/table6.xml"/><Relationship Id="rId12" Type="http://schemas.openxmlformats.org/officeDocument/2006/relationships/table" Target="../tables/table5.xml"/><Relationship Id="rId9" Type="http://schemas.openxmlformats.org/officeDocument/2006/relationships/table" Target="../tables/table2.xml"/><Relationship Id="rId8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3.13"/>
    <col customWidth="1" min="2" max="2" width="15.13"/>
    <col customWidth="1" min="3" max="3" width="18.88"/>
    <col customWidth="1" min="4" max="4" width="27.63"/>
    <col customWidth="1" min="5" max="5" width="50.13"/>
    <col customWidth="1" min="6" max="6" width="31.38"/>
    <col customWidth="1" min="7" max="7" width="32.63"/>
    <col customWidth="1" min="8" max="8" width="45.63"/>
    <col customWidth="1" min="9" max="9" width="14.5"/>
    <col customWidth="1" min="10" max="10" width="15.13"/>
    <col customWidth="1" min="11" max="11" width="13.88"/>
    <col customWidth="1" min="12" max="12" width="15.13"/>
    <col customWidth="1" min="13" max="13" width="12.63"/>
    <col customWidth="1" min="14" max="14" width="27.63"/>
  </cols>
  <sheetData>
    <row r="1" ht="15.0" customHeight="1">
      <c r="H1" s="1" t="s">
        <v>0</v>
      </c>
    </row>
    <row r="2" ht="18.0" customHeight="1">
      <c r="B2" s="2" t="s">
        <v>1</v>
      </c>
      <c r="C2" s="3" t="s">
        <v>2</v>
      </c>
      <c r="D2" s="4"/>
      <c r="E2" s="5" t="s">
        <v>3</v>
      </c>
      <c r="F2" s="6"/>
      <c r="G2" s="7" t="s">
        <v>4</v>
      </c>
      <c r="H2" s="8"/>
    </row>
    <row r="3" ht="27.0" customHeight="1">
      <c r="B3" s="9" t="s">
        <v>5</v>
      </c>
      <c r="C3" s="10">
        <f>COUNTA(B7:B100)</f>
        <v>16</v>
      </c>
      <c r="D3" s="11"/>
      <c r="E3" s="12">
        <f>IFERROR(__xludf.DUMMYFUNCTION("COUNTA(UNIQUE(FILTER(C7:C100, C7:C100&lt;&gt;"""")))"),10.0)</f>
        <v>10</v>
      </c>
      <c r="F3" s="13"/>
      <c r="G3" s="14">
        <f>IFERROR(__xludf.DUMMYFUNCTION("COUNTA(FILTER(H7:H100, H7:H100&lt;&gt;""""))"),16.0)</f>
        <v>16</v>
      </c>
      <c r="H3" s="15"/>
    </row>
    <row r="4" ht="16.5" customHeight="1">
      <c r="B4" s="16" t="s">
        <v>6</v>
      </c>
      <c r="C4" s="17" t="str">
        <f>"Planned Test Cases"</f>
        <v>Planned Test Cases</v>
      </c>
      <c r="D4" s="18"/>
      <c r="E4" s="19" t="str">
        <f>"Active Test Modules"</f>
        <v>Active Test Modules</v>
      </c>
      <c r="F4" s="20"/>
      <c r="G4" s="21" t="str">
        <f>IFERROR(__xludf.DUMMYFUNCTION("COUNTA(FILTER(H7:H100, H7:H100&lt;&gt;""""))&amp;"" of ""&amp;COUNTA(B7:B100)&amp;"" Documented"""),"16 of 16 Documented")</f>
        <v>16 of 16 Documented</v>
      </c>
      <c r="H4" s="22"/>
    </row>
    <row r="5" ht="12.0" customHeight="1"/>
    <row r="6" ht="27.0" customHeight="1">
      <c r="B6" s="23" t="s">
        <v>7</v>
      </c>
      <c r="C6" s="24" t="s">
        <v>8</v>
      </c>
      <c r="D6" s="24" t="s">
        <v>9</v>
      </c>
      <c r="E6" s="24" t="s">
        <v>10</v>
      </c>
      <c r="F6" s="24" t="s">
        <v>11</v>
      </c>
      <c r="G6" s="24" t="s">
        <v>12</v>
      </c>
      <c r="H6" s="25" t="s">
        <v>13</v>
      </c>
      <c r="I6" s="26" t="s">
        <v>14</v>
      </c>
    </row>
    <row r="7" ht="66.0" customHeight="1">
      <c r="B7" s="27" t="s">
        <v>15</v>
      </c>
      <c r="C7" s="28" t="s">
        <v>16</v>
      </c>
      <c r="D7" s="29" t="s">
        <v>17</v>
      </c>
      <c r="E7" s="29" t="s">
        <v>18</v>
      </c>
      <c r="F7" s="30" t="s">
        <v>19</v>
      </c>
      <c r="G7" s="30" t="s">
        <v>20</v>
      </c>
      <c r="H7" s="1" t="s">
        <v>21</v>
      </c>
      <c r="I7" s="31" t="s">
        <v>22</v>
      </c>
    </row>
    <row r="8" ht="46.5" customHeight="1">
      <c r="B8" s="27" t="s">
        <v>23</v>
      </c>
      <c r="C8" s="28" t="s">
        <v>16</v>
      </c>
      <c r="D8" s="29" t="s">
        <v>24</v>
      </c>
      <c r="E8" s="29" t="s">
        <v>25</v>
      </c>
      <c r="F8" s="30" t="s">
        <v>26</v>
      </c>
      <c r="G8" s="30" t="s">
        <v>27</v>
      </c>
      <c r="H8" s="30" t="s">
        <v>27</v>
      </c>
      <c r="I8" s="31" t="s">
        <v>22</v>
      </c>
    </row>
    <row r="9" ht="46.5" customHeight="1">
      <c r="B9" s="27" t="s">
        <v>28</v>
      </c>
      <c r="C9" s="28" t="s">
        <v>29</v>
      </c>
      <c r="D9" s="29" t="s">
        <v>30</v>
      </c>
      <c r="E9" s="29" t="s">
        <v>31</v>
      </c>
      <c r="F9" s="32" t="s">
        <v>32</v>
      </c>
      <c r="G9" s="32" t="s">
        <v>33</v>
      </c>
      <c r="H9" s="32" t="s">
        <v>33</v>
      </c>
      <c r="I9" s="31" t="s">
        <v>22</v>
      </c>
    </row>
    <row r="10" ht="46.5" customHeight="1">
      <c r="B10" s="27" t="s">
        <v>34</v>
      </c>
      <c r="C10" s="28" t="s">
        <v>29</v>
      </c>
      <c r="D10" s="29" t="s">
        <v>35</v>
      </c>
      <c r="E10" s="29" t="s">
        <v>36</v>
      </c>
      <c r="F10" s="32" t="s">
        <v>37</v>
      </c>
      <c r="G10" s="32" t="s">
        <v>38</v>
      </c>
      <c r="H10" s="32" t="s">
        <v>38</v>
      </c>
      <c r="I10" s="31" t="s">
        <v>22</v>
      </c>
    </row>
    <row r="11" ht="46.5" customHeight="1">
      <c r="B11" s="27" t="s">
        <v>39</v>
      </c>
      <c r="C11" s="28" t="s">
        <v>29</v>
      </c>
      <c r="D11" s="29" t="s">
        <v>40</v>
      </c>
      <c r="E11" s="29" t="s">
        <v>41</v>
      </c>
      <c r="F11" s="32" t="s">
        <v>42</v>
      </c>
      <c r="G11" s="32" t="s">
        <v>43</v>
      </c>
      <c r="H11" s="32" t="s">
        <v>43</v>
      </c>
      <c r="I11" s="31" t="s">
        <v>22</v>
      </c>
    </row>
    <row r="12" ht="46.5" customHeight="1">
      <c r="B12" s="27" t="s">
        <v>44</v>
      </c>
      <c r="C12" s="28" t="s">
        <v>45</v>
      </c>
      <c r="D12" s="29" t="s">
        <v>46</v>
      </c>
      <c r="E12" s="29" t="s">
        <v>47</v>
      </c>
      <c r="F12" s="32" t="s">
        <v>48</v>
      </c>
      <c r="G12" s="32" t="s">
        <v>49</v>
      </c>
      <c r="H12" s="32" t="s">
        <v>49</v>
      </c>
      <c r="I12" s="31" t="s">
        <v>22</v>
      </c>
    </row>
    <row r="13" ht="46.5" customHeight="1">
      <c r="B13" s="27" t="s">
        <v>44</v>
      </c>
      <c r="C13" s="28" t="s">
        <v>45</v>
      </c>
      <c r="D13" s="29" t="s">
        <v>50</v>
      </c>
      <c r="E13" s="29" t="s">
        <v>51</v>
      </c>
      <c r="F13" s="32" t="s">
        <v>52</v>
      </c>
      <c r="G13" s="32" t="s">
        <v>53</v>
      </c>
      <c r="H13" s="32" t="s">
        <v>53</v>
      </c>
      <c r="I13" s="31" t="s">
        <v>22</v>
      </c>
    </row>
    <row r="14" ht="46.5" customHeight="1">
      <c r="B14" s="27" t="s">
        <v>54</v>
      </c>
      <c r="C14" s="28" t="s">
        <v>55</v>
      </c>
      <c r="D14" s="29" t="s">
        <v>56</v>
      </c>
      <c r="E14" s="29" t="s">
        <v>57</v>
      </c>
      <c r="F14" s="32" t="s">
        <v>58</v>
      </c>
      <c r="G14" s="32" t="s">
        <v>59</v>
      </c>
      <c r="H14" s="32" t="s">
        <v>59</v>
      </c>
      <c r="I14" s="31" t="s">
        <v>22</v>
      </c>
    </row>
    <row r="15" ht="46.5" customHeight="1">
      <c r="B15" s="27" t="s">
        <v>60</v>
      </c>
      <c r="C15" s="28" t="s">
        <v>61</v>
      </c>
      <c r="D15" s="29" t="s">
        <v>62</v>
      </c>
      <c r="E15" s="29" t="s">
        <v>63</v>
      </c>
      <c r="F15" s="32" t="s">
        <v>64</v>
      </c>
      <c r="G15" s="32" t="s">
        <v>65</v>
      </c>
      <c r="H15" s="32" t="s">
        <v>65</v>
      </c>
      <c r="I15" s="31" t="s">
        <v>22</v>
      </c>
    </row>
    <row r="16" ht="46.5" customHeight="1">
      <c r="B16" s="33" t="s">
        <v>66</v>
      </c>
      <c r="C16" s="34" t="s">
        <v>67</v>
      </c>
      <c r="D16" s="35" t="s">
        <v>63</v>
      </c>
      <c r="E16" s="35" t="s">
        <v>62</v>
      </c>
      <c r="F16" s="36" t="s">
        <v>68</v>
      </c>
      <c r="G16" s="36" t="s">
        <v>69</v>
      </c>
      <c r="H16" s="36" t="s">
        <v>69</v>
      </c>
      <c r="I16" s="31" t="s">
        <v>22</v>
      </c>
    </row>
    <row r="17" ht="46.5" customHeight="1">
      <c r="B17" s="33" t="s">
        <v>70</v>
      </c>
      <c r="C17" s="34" t="s">
        <v>71</v>
      </c>
      <c r="D17" s="35" t="s">
        <v>72</v>
      </c>
      <c r="E17" s="35" t="s">
        <v>73</v>
      </c>
      <c r="F17" s="36" t="s">
        <v>74</v>
      </c>
      <c r="G17" s="36" t="s">
        <v>75</v>
      </c>
      <c r="H17" s="36" t="s">
        <v>75</v>
      </c>
      <c r="I17" s="31" t="s">
        <v>22</v>
      </c>
    </row>
    <row r="18" ht="50.25" customHeight="1">
      <c r="A18" s="37"/>
      <c r="B18" s="38" t="s">
        <v>76</v>
      </c>
      <c r="C18" s="39" t="s">
        <v>71</v>
      </c>
      <c r="D18" s="40" t="s">
        <v>77</v>
      </c>
      <c r="E18" s="40" t="s">
        <v>78</v>
      </c>
      <c r="F18" s="40" t="s">
        <v>79</v>
      </c>
      <c r="G18" s="40" t="s">
        <v>80</v>
      </c>
      <c r="H18" s="40" t="s">
        <v>80</v>
      </c>
      <c r="I18" s="41" t="s">
        <v>22</v>
      </c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57.0" customHeight="1">
      <c r="A19" s="37"/>
      <c r="B19" s="38" t="s">
        <v>81</v>
      </c>
      <c r="C19" s="39" t="s">
        <v>82</v>
      </c>
      <c r="D19" s="40" t="s">
        <v>83</v>
      </c>
      <c r="E19" s="40" t="s">
        <v>84</v>
      </c>
      <c r="F19" s="40" t="s">
        <v>85</v>
      </c>
      <c r="G19" s="40" t="s">
        <v>86</v>
      </c>
      <c r="H19" s="40" t="s">
        <v>86</v>
      </c>
      <c r="I19" s="41" t="s">
        <v>22</v>
      </c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51.0" customHeight="1">
      <c r="A20" s="37"/>
      <c r="B20" s="38" t="s">
        <v>87</v>
      </c>
      <c r="C20" s="39" t="s">
        <v>82</v>
      </c>
      <c r="D20" s="40" t="s">
        <v>88</v>
      </c>
      <c r="E20" s="40" t="s">
        <v>89</v>
      </c>
      <c r="F20" s="40" t="s">
        <v>90</v>
      </c>
      <c r="G20" s="40" t="s">
        <v>91</v>
      </c>
      <c r="H20" s="40" t="s">
        <v>91</v>
      </c>
      <c r="I20" s="41" t="s">
        <v>22</v>
      </c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75.0" customHeight="1">
      <c r="A21" s="37"/>
      <c r="B21" s="38" t="s">
        <v>92</v>
      </c>
      <c r="C21" s="39" t="s">
        <v>93</v>
      </c>
      <c r="D21" s="40" t="s">
        <v>94</v>
      </c>
      <c r="E21" s="40" t="s">
        <v>95</v>
      </c>
      <c r="F21" s="40" t="s">
        <v>96</v>
      </c>
      <c r="G21" s="40" t="s">
        <v>97</v>
      </c>
      <c r="H21" s="40" t="s">
        <v>97</v>
      </c>
      <c r="I21" s="41" t="s">
        <v>22</v>
      </c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85.5" customHeight="1">
      <c r="A22" s="37"/>
      <c r="B22" s="38" t="s">
        <v>98</v>
      </c>
      <c r="C22" s="39" t="s">
        <v>99</v>
      </c>
      <c r="D22" s="40" t="s">
        <v>100</v>
      </c>
      <c r="E22" s="40" t="s">
        <v>101</v>
      </c>
      <c r="F22" s="40" t="s">
        <v>102</v>
      </c>
      <c r="G22" s="40" t="s">
        <v>103</v>
      </c>
      <c r="H22" s="40" t="s">
        <v>103</v>
      </c>
      <c r="I22" s="41" t="s">
        <v>22</v>
      </c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</sheetData>
  <mergeCells count="9">
    <mergeCell ref="E4:F4"/>
    <mergeCell ref="G4:H4"/>
    <mergeCell ref="C2:D2"/>
    <mergeCell ref="E2:F2"/>
    <mergeCell ref="G2:H2"/>
    <mergeCell ref="C3:D3"/>
    <mergeCell ref="E3:F3"/>
    <mergeCell ref="G3:H3"/>
    <mergeCell ref="C4:D4"/>
  </mergeCells>
  <conditionalFormatting sqref="M7:M17">
    <cfRule type="expression" dxfId="3" priority="1" stopIfTrue="1">
      <formula>AND(M7&lt;&gt;"-",LEN(M7)&gt;1)</formula>
    </cfRule>
  </conditionalFormatting>
  <dataValidations>
    <dataValidation type="list" allowBlank="1" showErrorMessage="1" sqref="I7:I22">
      <formula1>"pass,fail"</formula1>
    </dataValidation>
  </dataValidations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